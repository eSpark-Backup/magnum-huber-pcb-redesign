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aSim Data\GitHub\MagnumHuber-PCB-Redesign\Design Files\PieZense_Leader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60" i="1" l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<sst xmlns="http://schemas.openxmlformats.org/spreadsheetml/2006/main" count="407" uniqueCount="286">
  <si>
    <t>#</t>
  </si>
  <si>
    <t>Item Type</t>
  </si>
  <si>
    <t>Capacitors</t>
  </si>
  <si>
    <t>Capacitor</t>
  </si>
  <si>
    <t>Tantalum Capacitors</t>
  </si>
  <si>
    <t>TVS Diode</t>
  </si>
  <si>
    <t>LEDs</t>
  </si>
  <si>
    <t>Diode</t>
  </si>
  <si>
    <t>ESD Protection Device</t>
  </si>
  <si>
    <t>Card Edge Connectors</t>
  </si>
  <si>
    <t>Fuse</t>
  </si>
  <si>
    <t>Cables and Wire</t>
  </si>
  <si>
    <t>USB Connector</t>
  </si>
  <si>
    <t>Right Angle JST</t>
  </si>
  <si>
    <t>JST Connector</t>
  </si>
  <si>
    <t>Fixed Inductors</t>
  </si>
  <si>
    <t>RGB LED</t>
  </si>
  <si>
    <t>Headers and Wire Housings</t>
  </si>
  <si>
    <t>Mosfet</t>
  </si>
  <si>
    <t>Resistor</t>
  </si>
  <si>
    <t>Resistors</t>
  </si>
  <si>
    <t>Tactile Switches</t>
  </si>
  <si>
    <t>Slide Switches</t>
  </si>
  <si>
    <t>TVS Diodes</t>
  </si>
  <si>
    <t>Module</t>
  </si>
  <si>
    <t>IC</t>
  </si>
  <si>
    <t>Designator</t>
  </si>
  <si>
    <t>C1</t>
  </si>
  <si>
    <t>C2, C3, C4, C6, C10, C12, C13, C15, C17, C28, C30, C31, C36, C37, C38, C39, C40</t>
  </si>
  <si>
    <t>C5, C18</t>
  </si>
  <si>
    <t>C7, C8</t>
  </si>
  <si>
    <t>C9, C14</t>
  </si>
  <si>
    <t>C11</t>
  </si>
  <si>
    <t>C19</t>
  </si>
  <si>
    <t>C20, C21</t>
  </si>
  <si>
    <t>C22</t>
  </si>
  <si>
    <t>C23</t>
  </si>
  <si>
    <t>C25</t>
  </si>
  <si>
    <t>C26, C27, C32, C33, C34, C35</t>
  </si>
  <si>
    <t>D1</t>
  </si>
  <si>
    <t>D2</t>
  </si>
  <si>
    <t>D3, D4</t>
  </si>
  <si>
    <t>D5</t>
  </si>
  <si>
    <t>D6</t>
  </si>
  <si>
    <t>D7, D8</t>
  </si>
  <si>
    <t>F1, F2, F3, F4, F5, F6, F7, F8, F9, F10, F11, F12</t>
  </si>
  <si>
    <t>F13</t>
  </si>
  <si>
    <t>J1</t>
  </si>
  <si>
    <t>J2</t>
  </si>
  <si>
    <t>J3, NTC1</t>
  </si>
  <si>
    <t>J4</t>
  </si>
  <si>
    <t>L1, L2</t>
  </si>
  <si>
    <t>LED1</t>
  </si>
  <si>
    <t>P1</t>
  </si>
  <si>
    <t>Q1</t>
  </si>
  <si>
    <t>Q2, Q3</t>
  </si>
  <si>
    <t>R1, R2</t>
  </si>
  <si>
    <t>R3, R10, R25, R34, R36, R42, R53</t>
  </si>
  <si>
    <t>R4, R6</t>
  </si>
  <si>
    <t>R5, R9, R16, R17, R20, R24, R27, R29, R55, R57, R58</t>
  </si>
  <si>
    <t>R7</t>
  </si>
  <si>
    <t>R8</t>
  </si>
  <si>
    <t>R11, R12, R22</t>
  </si>
  <si>
    <t>R13</t>
  </si>
  <si>
    <t>R14</t>
  </si>
  <si>
    <t>R21</t>
  </si>
  <si>
    <t>R23, R54</t>
  </si>
  <si>
    <t>R26, R28, R56</t>
  </si>
  <si>
    <t>R30</t>
  </si>
  <si>
    <t>R31, R32</t>
  </si>
  <si>
    <t>R33, R35, R37, R38, R39, R41, R43, R47</t>
  </si>
  <si>
    <t>R40</t>
  </si>
  <si>
    <t>R44</t>
  </si>
  <si>
    <t>R45, R48, R49</t>
  </si>
  <si>
    <t>R46</t>
  </si>
  <si>
    <t>S1, S2</t>
  </si>
  <si>
    <t>SW1</t>
  </si>
  <si>
    <t>TVS1</t>
  </si>
  <si>
    <t>U1</t>
  </si>
  <si>
    <t>U2, U3</t>
  </si>
  <si>
    <t>U4</t>
  </si>
  <si>
    <t>U5</t>
  </si>
  <si>
    <t>U6</t>
  </si>
  <si>
    <t>U7</t>
  </si>
  <si>
    <t>U8</t>
  </si>
  <si>
    <t>Description</t>
  </si>
  <si>
    <t>CAP CER 4.7UF 35V X5R 0603</t>
  </si>
  <si>
    <t>CAP CER 0.1UF 50V X5R 0603</t>
  </si>
  <si>
    <t>CAP TANT 10UF 10% 35V 2312</t>
  </si>
  <si>
    <t>CAP CER 47PF 50V NPO 0603</t>
  </si>
  <si>
    <t>CAP CER 15UF 35V X5R 1206</t>
  </si>
  <si>
    <t>CAP CER 10000PF 50V X7R 0603</t>
  </si>
  <si>
    <t>CAP CER 1UF 50V X7R 0805</t>
  </si>
  <si>
    <t>CAP CER 10UF 25V X5R 0603</t>
  </si>
  <si>
    <t>CAP CER 470PF 50V X7R 0603</t>
  </si>
  <si>
    <t>CAP CER 2.2UF 50V X5R 0805</t>
  </si>
  <si>
    <t>CAP CER 4700PF 50V C0G/NPO 0603</t>
  </si>
  <si>
    <t>CAP CER 1UF 25V X7R 0603</t>
  </si>
  <si>
    <t>SMB(DO-214AA)</t>
  </si>
  <si>
    <t>LED BLUE CLEAR 0602 SMD R/A</t>
  </si>
  <si>
    <t>DIODE GEN PURP 100V 300MA SOD123</t>
  </si>
  <si>
    <t>TO-277 Schottky Barrier Diodes (SBD) ROHS</t>
  </si>
  <si>
    <t>DIODE SCHOTTKY 60V 7A POWERDI5</t>
  </si>
  <si>
    <t>TVS DIODE 5VWM SOD523</t>
  </si>
  <si>
    <t>CONN HEADER SMD 4POS 1.25MM</t>
  </si>
  <si>
    <t>FUSE BRD MNT 5A 32VAC 75VDC 1206</t>
  </si>
  <si>
    <t>PLUG-OF-NAILS 6-PIN W/O LEGS</t>
  </si>
  <si>
    <t>5A 1 16P Female Type-C SMD USB Connectors ROHS</t>
  </si>
  <si>
    <t>1x2P 1 2mm Male pin 2 -25℃~+85℃ 2A Surface Mount SMD,P=2mm Wire To Board / Wire To Wire Connector ROHS</t>
  </si>
  <si>
    <t>CONN HEADER SMD R/A 6POS 2MM</t>
  </si>
  <si>
    <t>FIXED IND 10UH 2.7A 110MOHM SMD</t>
  </si>
  <si>
    <t>5mA -40℃~+80℃ RGB SMD,2x2mm Light Emitting Diodes (LED) ROHS</t>
  </si>
  <si>
    <t>CONN HEADER VERT 10POS 2.54MM</t>
  </si>
  <si>
    <t>MOSFET P-CH 50V 130MA SOT323</t>
  </si>
  <si>
    <t>MOSFET N-CH 60V 100A TO252-3</t>
  </si>
  <si>
    <t>RES 2.2K OHM 1% 1/10W 0603</t>
  </si>
  <si>
    <t>RES SMD 10K Ohm 1% 1/10W 0603</t>
  </si>
  <si>
    <t>RES 100K OHM 1% 1/10W 0603</t>
  </si>
  <si>
    <t>RES 0 OHM JUMPER 1/10W 0603, RES SMD 10K Ohm 1% 1/10W 0603</t>
  </si>
  <si>
    <t>RES 4.99K OHM 1% 1/10W 0603</t>
  </si>
  <si>
    <t>RES 22.1K OHM 1% 1/10W 0603</t>
  </si>
  <si>
    <t>RES SMD 47OHM 0.1W 0603</t>
  </si>
  <si>
    <t>RES SMD 1M OHM 1% 1/10W 0603</t>
  </si>
  <si>
    <t>RES 120K OHM 1% 1/10W 0603</t>
  </si>
  <si>
    <t>RES 470 OHM 1% 1/10W 0603</t>
  </si>
  <si>
    <t>RES SMD 1K OHM 1% 1/10W 0603</t>
  </si>
  <si>
    <t>RES 0 OHM JUMPER 1/10W 0603</t>
  </si>
  <si>
    <t>RES 499K OHM 1% 1/10W 0603</t>
  </si>
  <si>
    <t>RES SMD 4.7K OHM 1% 1/10W 0603</t>
  </si>
  <si>
    <t>RES SMD 100 OHM 1% 1/8W 0805</t>
  </si>
  <si>
    <t>3W ±1% 1mΩ 3920 Chip Resistor - Surface Mount ROHS</t>
  </si>
  <si>
    <t>RES 1K OHM 1% 1/8W 0805</t>
  </si>
  <si>
    <t>RES 1M OHM 1% 1/8W 0805</t>
  </si>
  <si>
    <t>RES 0 OHM JUMPER 1/8W 0805</t>
  </si>
  <si>
    <t>SWITCH TACTILE SPST-NO 0.05A 16V</t>
  </si>
  <si>
    <t>SWITCH SLIDE SPDT 4A 125V</t>
  </si>
  <si>
    <t>TVS DIODE 24VWM 44VC SOT233</t>
  </si>
  <si>
    <t>RF TXRX MOD BT /ANTU.FL SMD</t>
  </si>
  <si>
    <t>IC REG BUCK ADJ 2A SOT23</t>
  </si>
  <si>
    <t>IC BUF NON-INVERT 5.5V SOT23-5</t>
  </si>
  <si>
    <t>ESSOP-10-150mil-1mm USB PD ROHS</t>
  </si>
  <si>
    <t>SOT-223 Linear Voltage Regulators (LDO) ROHS</t>
  </si>
  <si>
    <t>IC BATT MON MULTI 3-5C 20TSSOP</t>
  </si>
  <si>
    <t>IC USB TO UART BRIDGE QFN24</t>
  </si>
  <si>
    <t>Footprint</t>
  </si>
  <si>
    <t>Cap-0603</t>
  </si>
  <si>
    <t>Case-C</t>
  </si>
  <si>
    <t>Cap-1206</t>
  </si>
  <si>
    <t>Cap-0805</t>
  </si>
  <si>
    <t>SMB_</t>
  </si>
  <si>
    <t>LED-0603</t>
  </si>
  <si>
    <t>SOD-123</t>
  </si>
  <si>
    <t>SB10100L</t>
  </si>
  <si>
    <t>Power-DI-5</t>
  </si>
  <si>
    <t>SOD-523 (Bi-Directional)</t>
  </si>
  <si>
    <t>BM04B-GHS-TBT</t>
  </si>
  <si>
    <t>Fuse 1206 (3216 Metric)</t>
  </si>
  <si>
    <t>TC2030-MCP-NL</t>
  </si>
  <si>
    <t>TYPE-C-31-M-12_</t>
  </si>
  <si>
    <t>WAFER-PH2.0-2PWB</t>
  </si>
  <si>
    <t>S6B-PH-SM4-TB(LF)(SN)</t>
  </si>
  <si>
    <t>SK6812-EC20</t>
  </si>
  <si>
    <t>HDR 2x5 TH (Male)</t>
  </si>
  <si>
    <t>SOT-323</t>
  </si>
  <si>
    <t>TO-252-2L</t>
  </si>
  <si>
    <t>Res-0603</t>
  </si>
  <si>
    <t>RES-0805</t>
  </si>
  <si>
    <t>RES 3920</t>
  </si>
  <si>
    <t>Res-0805</t>
  </si>
  <si>
    <t>SKRPABE010</t>
  </si>
  <si>
    <t>25336NA</t>
  </si>
  <si>
    <t>SOT-23</t>
  </si>
  <si>
    <t>NORA-B120-00B</t>
  </si>
  <si>
    <t>SOT-23-6 THIN</t>
  </si>
  <si>
    <t>SOT-23-5</t>
  </si>
  <si>
    <t>ESSOP-10-150mil-1mm</t>
  </si>
  <si>
    <t>SOT- 223</t>
  </si>
  <si>
    <t>TSSOP-20</t>
  </si>
  <si>
    <t>24-WQFN (4x4)</t>
  </si>
  <si>
    <t>Manufacturer Part Number</t>
  </si>
  <si>
    <t>GRM188R6YA475KE15D</t>
  </si>
  <si>
    <t>CC0603KRX5R9BB104</t>
  </si>
  <si>
    <t>TAJC106K035RNJ</t>
  </si>
  <si>
    <t>CC0603FRNPO9BN470</t>
  </si>
  <si>
    <t>C3216X5R1V156M160AC</t>
  </si>
  <si>
    <t>CC0603KRX7R9BB103</t>
  </si>
  <si>
    <t>08055C105KAT2A</t>
  </si>
  <si>
    <t>C1608X5R1E106M080AC</t>
  </si>
  <si>
    <t>0603B471K500CT</t>
  </si>
  <si>
    <t>CC0805KKX5R9BB225</t>
  </si>
  <si>
    <t>CC0603JRNPO9BN472</t>
  </si>
  <si>
    <t>C1608X7R1E105K080AB</t>
  </si>
  <si>
    <t>SMBJ24A</t>
  </si>
  <si>
    <t>QBLP617-IB</t>
  </si>
  <si>
    <t>1N4148W-7-F</t>
  </si>
  <si>
    <t>PDS760-13</t>
  </si>
  <si>
    <t>ESD5B5.0ST1G</t>
  </si>
  <si>
    <t>BM04B-GHS-TBT(LF)(SN)</t>
  </si>
  <si>
    <t>0458005.DR</t>
  </si>
  <si>
    <t>TYPE-C-31-M-12</t>
  </si>
  <si>
    <t>BSS84W-7-F</t>
  </si>
  <si>
    <t>IPD034N06N3G</t>
  </si>
  <si>
    <t>RC0603FR-072K2L</t>
  </si>
  <si>
    <t>RC0603FR-0710KL</t>
  </si>
  <si>
    <t>RC0603FR-07100KL</t>
  </si>
  <si>
    <t>RC0603JR-070RL, RC0603FR-0710KL</t>
  </si>
  <si>
    <t>RC0603FR-074K99L</t>
  </si>
  <si>
    <t>RC0603FR-0722K1L</t>
  </si>
  <si>
    <t>RC0603FR-0747RL</t>
  </si>
  <si>
    <t>RC0603FR-071ML</t>
  </si>
  <si>
    <t>RC0603FR-07120KL</t>
  </si>
  <si>
    <t>RC0603FR-07470RL</t>
  </si>
  <si>
    <t>RC0603FR-071KL, CRCW06031K00FKEA</t>
  </si>
  <si>
    <t>RC0603JR-070RL</t>
  </si>
  <si>
    <t>RC0603FR-07499KL</t>
  </si>
  <si>
    <t>RC0603FR-074K7L</t>
  </si>
  <si>
    <t>AC0805FR-07100RL</t>
  </si>
  <si>
    <t>HoLRS3920-3W-1mR-1%</t>
  </si>
  <si>
    <t>RC0805FR-071KL</t>
  </si>
  <si>
    <t>RC0805FR-071ML</t>
  </si>
  <si>
    <t>RC0805FR-070RL</t>
  </si>
  <si>
    <t>NUP2105LT1G</t>
  </si>
  <si>
    <t>TPS54202DDCR</t>
  </si>
  <si>
    <t>SN74LV1T34DBVR</t>
  </si>
  <si>
    <t>CH224K</t>
  </si>
  <si>
    <t>AMS1117-5.0</t>
  </si>
  <si>
    <t>BQ7692006PWR</t>
  </si>
  <si>
    <t>CP2102N-A02-GQFN24R</t>
  </si>
  <si>
    <t>Manufacturer</t>
  </si>
  <si>
    <t>Murata</t>
  </si>
  <si>
    <t>Yageo</t>
  </si>
  <si>
    <t>Kyocera AVX</t>
  </si>
  <si>
    <t>TDK</t>
  </si>
  <si>
    <t>Walsin Technologies</t>
  </si>
  <si>
    <t>SMC</t>
  </si>
  <si>
    <t>QT Brightek</t>
  </si>
  <si>
    <t>Diodes</t>
  </si>
  <si>
    <t>TWGMC</t>
  </si>
  <si>
    <t>ON Semiconductor</t>
  </si>
  <si>
    <t>JST</t>
  </si>
  <si>
    <t>Littelfuse</t>
  </si>
  <si>
    <t>Tag-Connect</t>
  </si>
  <si>
    <t>Korean Hroparts Elec</t>
  </si>
  <si>
    <t>XUNPU</t>
  </si>
  <si>
    <t>Wurth Elektronik</t>
  </si>
  <si>
    <t>OPSCO Optoelectronics</t>
  </si>
  <si>
    <t>Infineon</t>
  </si>
  <si>
    <t>Yageo, Vishay Dale</t>
  </si>
  <si>
    <t>Milliohm</t>
  </si>
  <si>
    <t>ALPS</t>
  </si>
  <si>
    <t>APEM</t>
  </si>
  <si>
    <t>onsemi</t>
  </si>
  <si>
    <t>u-blox</t>
  </si>
  <si>
    <t>Texas Instruments</t>
  </si>
  <si>
    <t>WCH</t>
  </si>
  <si>
    <t>HX(hengjiaxing)</t>
  </si>
  <si>
    <t>Silicon Labs</t>
  </si>
  <si>
    <t>Comment</t>
  </si>
  <si>
    <t>4.7uF</t>
  </si>
  <si>
    <t>100nF</t>
  </si>
  <si>
    <t>10uF</t>
  </si>
  <si>
    <t>47pF</t>
  </si>
  <si>
    <t>15uF</t>
  </si>
  <si>
    <t>10000pF</t>
  </si>
  <si>
    <t>1uF</t>
  </si>
  <si>
    <t>470pF</t>
  </si>
  <si>
    <t>2.2uF</t>
  </si>
  <si>
    <t>4.7nF</t>
  </si>
  <si>
    <t>10uH</t>
  </si>
  <si>
    <t>2.2K</t>
  </si>
  <si>
    <t>10K</t>
  </si>
  <si>
    <t>100K</t>
  </si>
  <si>
    <t>DNP</t>
  </si>
  <si>
    <t>4.99K</t>
  </si>
  <si>
    <t>22.1K</t>
  </si>
  <si>
    <t>47R</t>
  </si>
  <si>
    <t>1M</t>
  </si>
  <si>
    <t>120K</t>
  </si>
  <si>
    <t>470R</t>
  </si>
  <si>
    <t>1K</t>
  </si>
  <si>
    <t>0R</t>
  </si>
  <si>
    <t>499K</t>
  </si>
  <si>
    <t>4.7K</t>
  </si>
  <si>
    <t>100R</t>
  </si>
  <si>
    <t>1mΩ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</si>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</sst>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0"/>
  <sheetViews>
    <sheetView tabSelected="1" workbookViewId="0">
      <selection activeCell="K2" sqref="K1:K1048576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.75" thickBot="1" x14ac:dyDescent="0.3">
      <c r="A2" s="1"/>
      <c r="B2" s="5" t="s">
        <v>0</v>
      </c>
      <c r="C2" s="5" t="s">
        <v>1</v>
      </c>
      <c r="D2" s="5" t="s">
        <v>26</v>
      </c>
      <c r="E2" s="6" t="s">
        <v>85</v>
      </c>
      <c r="F2" s="5" t="s">
        <v>144</v>
      </c>
      <c r="G2" s="6" t="s">
        <v>179</v>
      </c>
      <c r="H2" s="5" t="s">
        <v>228</v>
      </c>
      <c r="I2" s="6" t="s">
        <v>257</v>
      </c>
      <c r="J2" s="5" t="s">
        <v>285</v>
      </c>
    </row>
    <row r="3" spans="1:10" ht="15.75" thickBot="1" x14ac:dyDescent="0.3">
      <c r="A3" s="1"/>
      <c r="B3" s="11">
        <f>ROW(B3) - ROW($B$2)</f>
        <v>1</v>
      </c>
      <c r="C3" s="12" t="s">
        <v>2</v>
      </c>
      <c r="D3" s="7" t="s">
        <v>27</v>
      </c>
      <c r="E3" s="8" t="s">
        <v>86</v>
      </c>
      <c r="F3" s="7" t="s">
        <v>145</v>
      </c>
      <c r="G3" s="8" t="s">
        <v>180</v>
      </c>
      <c r="H3" s="7" t="s">
        <v>229</v>
      </c>
      <c r="I3" s="8" t="s">
        <v>258</v>
      </c>
      <c r="J3" s="7">
        <v>1</v>
      </c>
    </row>
    <row r="4" spans="1:10" ht="24.75" thickBot="1" x14ac:dyDescent="0.3">
      <c r="A4" s="1"/>
      <c r="B4" s="11">
        <f t="shared" ref="B4:B60" si="0">ROW(B4) - ROW($B$2)</f>
        <v>2</v>
      </c>
      <c r="C4" s="13" t="s">
        <v>3</v>
      </c>
      <c r="D4" s="9" t="s">
        <v>28</v>
      </c>
      <c r="E4" s="10" t="s">
        <v>87</v>
      </c>
      <c r="F4" s="9" t="s">
        <v>145</v>
      </c>
      <c r="G4" s="10" t="s">
        <v>181</v>
      </c>
      <c r="H4" s="9" t="s">
        <v>230</v>
      </c>
      <c r="I4" s="10" t="s">
        <v>259</v>
      </c>
      <c r="J4" s="9">
        <v>17</v>
      </c>
    </row>
    <row r="5" spans="1:10" ht="15.75" thickBot="1" x14ac:dyDescent="0.3">
      <c r="A5" s="1"/>
      <c r="B5" s="11">
        <f>ROW(B5) - ROW($B$2)</f>
        <v>3</v>
      </c>
      <c r="C5" s="12" t="s">
        <v>4</v>
      </c>
      <c r="D5" s="7" t="s">
        <v>29</v>
      </c>
      <c r="E5" s="8" t="s">
        <v>88</v>
      </c>
      <c r="F5" s="7" t="s">
        <v>146</v>
      </c>
      <c r="G5" s="8" t="s">
        <v>182</v>
      </c>
      <c r="H5" s="7" t="s">
        <v>231</v>
      </c>
      <c r="I5" s="8" t="s">
        <v>260</v>
      </c>
      <c r="J5" s="7">
        <v>2</v>
      </c>
    </row>
    <row r="6" spans="1:10" ht="15.75" thickBot="1" x14ac:dyDescent="0.3">
      <c r="A6" s="1"/>
      <c r="B6" s="11">
        <f t="shared" si="0"/>
        <v>4</v>
      </c>
      <c r="C6" s="13" t="s">
        <v>3</v>
      </c>
      <c r="D6" s="9" t="s">
        <v>30</v>
      </c>
      <c r="E6" s="10" t="s">
        <v>89</v>
      </c>
      <c r="F6" s="9" t="s">
        <v>145</v>
      </c>
      <c r="G6" s="10" t="s">
        <v>183</v>
      </c>
      <c r="H6" s="9" t="s">
        <v>230</v>
      </c>
      <c r="I6" s="10" t="s">
        <v>261</v>
      </c>
      <c r="J6" s="9">
        <v>2</v>
      </c>
    </row>
    <row r="7" spans="1:10" ht="15.75" thickBot="1" x14ac:dyDescent="0.3">
      <c r="A7" s="1"/>
      <c r="B7" s="11">
        <f>ROW(B7) - ROW($B$2)</f>
        <v>5</v>
      </c>
      <c r="C7" s="12" t="s">
        <v>2</v>
      </c>
      <c r="D7" s="7" t="s">
        <v>31</v>
      </c>
      <c r="E7" s="8" t="s">
        <v>90</v>
      </c>
      <c r="F7" s="7" t="s">
        <v>147</v>
      </c>
      <c r="G7" s="8" t="s">
        <v>184</v>
      </c>
      <c r="H7" s="7" t="s">
        <v>232</v>
      </c>
      <c r="I7" s="8" t="s">
        <v>262</v>
      </c>
      <c r="J7" s="7">
        <v>2</v>
      </c>
    </row>
    <row r="8" spans="1:10" ht="15.75" thickBot="1" x14ac:dyDescent="0.3">
      <c r="A8" s="1"/>
      <c r="B8" s="11">
        <f t="shared" si="0"/>
        <v>6</v>
      </c>
      <c r="C8" s="13"/>
      <c r="D8" s="9" t="s">
        <v>32</v>
      </c>
      <c r="E8" s="10" t="s">
        <v>91</v>
      </c>
      <c r="F8" s="9" t="s">
        <v>145</v>
      </c>
      <c r="G8" s="10" t="s">
        <v>185</v>
      </c>
      <c r="H8" s="9" t="s">
        <v>230</v>
      </c>
      <c r="I8" s="10" t="s">
        <v>263</v>
      </c>
      <c r="J8" s="9">
        <v>1</v>
      </c>
    </row>
    <row r="9" spans="1:10" ht="15.75" thickBot="1" x14ac:dyDescent="0.3">
      <c r="A9" s="1"/>
      <c r="B9" s="11">
        <f>ROW(B9) - ROW($B$2)</f>
        <v>7</v>
      </c>
      <c r="C9" s="12" t="s">
        <v>2</v>
      </c>
      <c r="D9" s="7" t="s">
        <v>33</v>
      </c>
      <c r="E9" s="8" t="s">
        <v>92</v>
      </c>
      <c r="F9" s="7" t="s">
        <v>148</v>
      </c>
      <c r="G9" s="8" t="s">
        <v>186</v>
      </c>
      <c r="H9" s="7" t="s">
        <v>231</v>
      </c>
      <c r="I9" s="8" t="s">
        <v>264</v>
      </c>
      <c r="J9" s="7">
        <v>1</v>
      </c>
    </row>
    <row r="10" spans="1:10" ht="15.75" thickBot="1" x14ac:dyDescent="0.3">
      <c r="A10" s="1"/>
      <c r="B10" s="11">
        <f t="shared" si="0"/>
        <v>8</v>
      </c>
      <c r="C10" s="13" t="s">
        <v>3</v>
      </c>
      <c r="D10" s="9" t="s">
        <v>34</v>
      </c>
      <c r="E10" s="10" t="s">
        <v>93</v>
      </c>
      <c r="F10" s="9" t="s">
        <v>145</v>
      </c>
      <c r="G10" s="10" t="s">
        <v>187</v>
      </c>
      <c r="H10" s="9" t="s">
        <v>232</v>
      </c>
      <c r="I10" s="10" t="s">
        <v>260</v>
      </c>
      <c r="J10" s="9">
        <v>2</v>
      </c>
    </row>
    <row r="11" spans="1:10" ht="15.75" thickBot="1" x14ac:dyDescent="0.3">
      <c r="A11" s="1"/>
      <c r="B11" s="11">
        <f>ROW(B11) - ROW($B$2)</f>
        <v>9</v>
      </c>
      <c r="C11" s="12" t="s">
        <v>3</v>
      </c>
      <c r="D11" s="7" t="s">
        <v>35</v>
      </c>
      <c r="E11" s="8" t="s">
        <v>94</v>
      </c>
      <c r="F11" s="7" t="s">
        <v>145</v>
      </c>
      <c r="G11" s="8" t="s">
        <v>188</v>
      </c>
      <c r="H11" s="7" t="s">
        <v>233</v>
      </c>
      <c r="I11" s="8" t="s">
        <v>265</v>
      </c>
      <c r="J11" s="7">
        <v>1</v>
      </c>
    </row>
    <row r="12" spans="1:10" ht="15.75" thickBot="1" x14ac:dyDescent="0.3">
      <c r="A12" s="1"/>
      <c r="B12" s="11">
        <f t="shared" si="0"/>
        <v>10</v>
      </c>
      <c r="C12" s="13" t="s">
        <v>3</v>
      </c>
      <c r="D12" s="9" t="s">
        <v>36</v>
      </c>
      <c r="E12" s="10" t="s">
        <v>95</v>
      </c>
      <c r="F12" s="9" t="s">
        <v>148</v>
      </c>
      <c r="G12" s="10" t="s">
        <v>189</v>
      </c>
      <c r="H12" s="9" t="s">
        <v>230</v>
      </c>
      <c r="I12" s="10" t="s">
        <v>266</v>
      </c>
      <c r="J12" s="9">
        <v>1</v>
      </c>
    </row>
    <row r="13" spans="1:10" ht="15.75" thickBot="1" x14ac:dyDescent="0.3">
      <c r="A13" s="1"/>
      <c r="B13" s="11">
        <f>ROW(B13) - ROW($B$2)</f>
        <v>11</v>
      </c>
      <c r="C13" s="12" t="s">
        <v>3</v>
      </c>
      <c r="D13" s="7" t="s">
        <v>37</v>
      </c>
      <c r="E13" s="8" t="s">
        <v>96</v>
      </c>
      <c r="F13" s="7" t="s">
        <v>145</v>
      </c>
      <c r="G13" s="8" t="s">
        <v>190</v>
      </c>
      <c r="H13" s="7" t="s">
        <v>230</v>
      </c>
      <c r="I13" s="8" t="s">
        <v>267</v>
      </c>
      <c r="J13" s="7">
        <v>1</v>
      </c>
    </row>
    <row r="14" spans="1:10" ht="15.75" thickBot="1" x14ac:dyDescent="0.3">
      <c r="A14" s="1"/>
      <c r="B14" s="11">
        <f t="shared" si="0"/>
        <v>12</v>
      </c>
      <c r="C14" s="13" t="s">
        <v>2</v>
      </c>
      <c r="D14" s="9" t="s">
        <v>38</v>
      </c>
      <c r="E14" s="10" t="s">
        <v>97</v>
      </c>
      <c r="F14" s="9" t="s">
        <v>145</v>
      </c>
      <c r="G14" s="10" t="s">
        <v>191</v>
      </c>
      <c r="H14" s="9" t="s">
        <v>232</v>
      </c>
      <c r="I14" s="10" t="s">
        <v>264</v>
      </c>
      <c r="J14" s="9">
        <v>6</v>
      </c>
    </row>
    <row r="15" spans="1:10" ht="15.75" thickBot="1" x14ac:dyDescent="0.3">
      <c r="A15" s="1"/>
      <c r="B15" s="11">
        <f>ROW(B15) - ROW($B$2)</f>
        <v>13</v>
      </c>
      <c r="C15" s="12" t="s">
        <v>5</v>
      </c>
      <c r="D15" s="7" t="s">
        <v>39</v>
      </c>
      <c r="E15" s="8" t="s">
        <v>98</v>
      </c>
      <c r="F15" s="7" t="s">
        <v>149</v>
      </c>
      <c r="G15" s="8" t="s">
        <v>192</v>
      </c>
      <c r="H15" s="7" t="s">
        <v>234</v>
      </c>
      <c r="I15" s="8" t="s">
        <v>192</v>
      </c>
      <c r="J15" s="7">
        <v>1</v>
      </c>
    </row>
    <row r="16" spans="1:10" ht="15.75" thickBot="1" x14ac:dyDescent="0.3">
      <c r="A16" s="1"/>
      <c r="B16" s="11">
        <f t="shared" si="0"/>
        <v>14</v>
      </c>
      <c r="C16" s="13" t="s">
        <v>6</v>
      </c>
      <c r="D16" s="9" t="s">
        <v>40</v>
      </c>
      <c r="E16" s="10" t="s">
        <v>99</v>
      </c>
      <c r="F16" s="9" t="s">
        <v>150</v>
      </c>
      <c r="G16" s="10" t="s">
        <v>193</v>
      </c>
      <c r="H16" s="9" t="s">
        <v>235</v>
      </c>
      <c r="I16" s="10" t="s">
        <v>193</v>
      </c>
      <c r="J16" s="9">
        <v>1</v>
      </c>
    </row>
    <row r="17" spans="1:10" ht="15.75" thickBot="1" x14ac:dyDescent="0.3">
      <c r="A17" s="1"/>
      <c r="B17" s="11">
        <f>ROW(B17) - ROW($B$2)</f>
        <v>15</v>
      </c>
      <c r="C17" s="12" t="s">
        <v>7</v>
      </c>
      <c r="D17" s="7" t="s">
        <v>41</v>
      </c>
      <c r="E17" s="8" t="s">
        <v>100</v>
      </c>
      <c r="F17" s="7" t="s">
        <v>151</v>
      </c>
      <c r="G17" s="8" t="s">
        <v>194</v>
      </c>
      <c r="H17" s="7" t="s">
        <v>236</v>
      </c>
      <c r="I17" s="8" t="s">
        <v>194</v>
      </c>
      <c r="J17" s="7">
        <v>2</v>
      </c>
    </row>
    <row r="18" spans="1:10" ht="24.75" thickBot="1" x14ac:dyDescent="0.3">
      <c r="A18" s="1"/>
      <c r="B18" s="11">
        <f t="shared" si="0"/>
        <v>16</v>
      </c>
      <c r="C18" s="13" t="s">
        <v>7</v>
      </c>
      <c r="D18" s="9" t="s">
        <v>42</v>
      </c>
      <c r="E18" s="10" t="s">
        <v>101</v>
      </c>
      <c r="F18" s="9" t="s">
        <v>152</v>
      </c>
      <c r="G18" s="10" t="s">
        <v>152</v>
      </c>
      <c r="H18" s="9" t="s">
        <v>237</v>
      </c>
      <c r="I18" s="10" t="s">
        <v>152</v>
      </c>
      <c r="J18" s="9">
        <v>1</v>
      </c>
    </row>
    <row r="19" spans="1:10" ht="15.75" thickBot="1" x14ac:dyDescent="0.3">
      <c r="A19" s="1"/>
      <c r="B19" s="11">
        <f>ROW(B19) - ROW($B$2)</f>
        <v>17</v>
      </c>
      <c r="C19" s="12" t="s">
        <v>7</v>
      </c>
      <c r="D19" s="7" t="s">
        <v>43</v>
      </c>
      <c r="E19" s="8" t="s">
        <v>102</v>
      </c>
      <c r="F19" s="7" t="s">
        <v>153</v>
      </c>
      <c r="G19" s="8" t="s">
        <v>195</v>
      </c>
      <c r="H19" s="7" t="s">
        <v>236</v>
      </c>
      <c r="I19" s="8" t="s">
        <v>195</v>
      </c>
      <c r="J19" s="7">
        <v>1</v>
      </c>
    </row>
    <row r="20" spans="1:10" ht="15.75" thickBot="1" x14ac:dyDescent="0.3">
      <c r="A20" s="1"/>
      <c r="B20" s="11">
        <f t="shared" si="0"/>
        <v>18</v>
      </c>
      <c r="C20" s="13" t="s">
        <v>8</v>
      </c>
      <c r="D20" s="9" t="s">
        <v>44</v>
      </c>
      <c r="E20" s="10" t="s">
        <v>103</v>
      </c>
      <c r="F20" s="9" t="s">
        <v>154</v>
      </c>
      <c r="G20" s="10" t="s">
        <v>196</v>
      </c>
      <c r="H20" s="9" t="s">
        <v>238</v>
      </c>
      <c r="I20" s="10" t="s">
        <v>196</v>
      </c>
      <c r="J20" s="9">
        <v>2</v>
      </c>
    </row>
    <row r="21" spans="1:10" ht="24.75" thickBot="1" x14ac:dyDescent="0.3">
      <c r="A21" s="1"/>
      <c r="B21" s="11">
        <f>ROW(B21) - ROW($B$2)</f>
        <v>19</v>
      </c>
      <c r="C21" s="12" t="s">
        <v>9</v>
      </c>
      <c r="D21" s="7" t="s">
        <v>45</v>
      </c>
      <c r="E21" s="8" t="s">
        <v>104</v>
      </c>
      <c r="F21" s="7" t="s">
        <v>155</v>
      </c>
      <c r="G21" s="8" t="s">
        <v>197</v>
      </c>
      <c r="H21" s="7" t="s">
        <v>239</v>
      </c>
      <c r="I21" s="8" t="s">
        <v>197</v>
      </c>
      <c r="J21" s="7">
        <v>12</v>
      </c>
    </row>
    <row r="22" spans="1:10" ht="15.75" thickBot="1" x14ac:dyDescent="0.3">
      <c r="A22" s="1"/>
      <c r="B22" s="11">
        <f t="shared" si="0"/>
        <v>20</v>
      </c>
      <c r="C22" s="13" t="s">
        <v>10</v>
      </c>
      <c r="D22" s="9" t="s">
        <v>46</v>
      </c>
      <c r="E22" s="10" t="s">
        <v>105</v>
      </c>
      <c r="F22" s="9" t="s">
        <v>156</v>
      </c>
      <c r="G22" s="10" t="s">
        <v>198</v>
      </c>
      <c r="H22" s="9" t="s">
        <v>240</v>
      </c>
      <c r="I22" s="10" t="s">
        <v>198</v>
      </c>
      <c r="J22" s="9">
        <v>1</v>
      </c>
    </row>
    <row r="23" spans="1:10" ht="15.75" thickBot="1" x14ac:dyDescent="0.3">
      <c r="A23" s="1"/>
      <c r="B23" s="11">
        <f>ROW(B23) - ROW($B$2)</f>
        <v>21</v>
      </c>
      <c r="C23" s="12" t="s">
        <v>11</v>
      </c>
      <c r="D23" s="7" t="s">
        <v>47</v>
      </c>
      <c r="E23" s="8" t="s">
        <v>106</v>
      </c>
      <c r="F23" s="7" t="s">
        <v>157</v>
      </c>
      <c r="G23" s="8" t="s">
        <v>157</v>
      </c>
      <c r="H23" s="7" t="s">
        <v>241</v>
      </c>
      <c r="I23" s="8" t="s">
        <v>157</v>
      </c>
      <c r="J23" s="7">
        <v>1</v>
      </c>
    </row>
    <row r="24" spans="1:10" ht="24.75" thickBot="1" x14ac:dyDescent="0.3">
      <c r="A24" s="1"/>
      <c r="B24" s="11">
        <f t="shared" si="0"/>
        <v>22</v>
      </c>
      <c r="C24" s="13" t="s">
        <v>12</v>
      </c>
      <c r="D24" s="9" t="s">
        <v>48</v>
      </c>
      <c r="E24" s="10" t="s">
        <v>107</v>
      </c>
      <c r="F24" s="9" t="s">
        <v>158</v>
      </c>
      <c r="G24" s="10" t="s">
        <v>199</v>
      </c>
      <c r="H24" s="9" t="s">
        <v>242</v>
      </c>
      <c r="I24" s="10" t="s">
        <v>199</v>
      </c>
      <c r="J24" s="9">
        <v>1</v>
      </c>
    </row>
    <row r="25" spans="1:10" ht="48.75" thickBot="1" x14ac:dyDescent="0.3">
      <c r="A25" s="1"/>
      <c r="B25" s="11">
        <f>ROW(B25) - ROW($B$2)</f>
        <v>23</v>
      </c>
      <c r="C25" s="12" t="s">
        <v>13</v>
      </c>
      <c r="D25" s="7" t="s">
        <v>49</v>
      </c>
      <c r="E25" s="8" t="s">
        <v>108</v>
      </c>
      <c r="F25" s="7" t="s">
        <v>159</v>
      </c>
      <c r="G25" s="8" t="s">
        <v>159</v>
      </c>
      <c r="H25" s="7" t="s">
        <v>243</v>
      </c>
      <c r="I25" s="8" t="s">
        <v>159</v>
      </c>
      <c r="J25" s="7">
        <v>2</v>
      </c>
    </row>
    <row r="26" spans="1:10" ht="24.75" thickBot="1" x14ac:dyDescent="0.3">
      <c r="A26" s="1"/>
      <c r="B26" s="11">
        <f t="shared" si="0"/>
        <v>24</v>
      </c>
      <c r="C26" s="13" t="s">
        <v>14</v>
      </c>
      <c r="D26" s="9" t="s">
        <v>50</v>
      </c>
      <c r="E26" s="10" t="s">
        <v>109</v>
      </c>
      <c r="F26" s="9" t="s">
        <v>160</v>
      </c>
      <c r="G26" s="10" t="s">
        <v>160</v>
      </c>
      <c r="H26" s="9" t="s">
        <v>239</v>
      </c>
      <c r="I26" s="10" t="s">
        <v>160</v>
      </c>
      <c r="J26" s="9">
        <v>1</v>
      </c>
    </row>
    <row r="27" spans="1:10" ht="15.75" thickBot="1" x14ac:dyDescent="0.3">
      <c r="A27" s="1"/>
      <c r="B27" s="11">
        <f>ROW(B27) - ROW($B$2)</f>
        <v>25</v>
      </c>
      <c r="C27" s="12" t="s">
        <v>15</v>
      </c>
      <c r="D27" s="7" t="s">
        <v>51</v>
      </c>
      <c r="E27" s="8" t="s">
        <v>110</v>
      </c>
      <c r="F27" s="7">
        <v>78438357100</v>
      </c>
      <c r="G27" s="8">
        <v>78438357100</v>
      </c>
      <c r="H27" s="7" t="s">
        <v>244</v>
      </c>
      <c r="I27" s="8" t="s">
        <v>268</v>
      </c>
      <c r="J27" s="7">
        <v>2</v>
      </c>
    </row>
    <row r="28" spans="1:10" ht="24.75" thickBot="1" x14ac:dyDescent="0.3">
      <c r="A28" s="1"/>
      <c r="B28" s="11">
        <f t="shared" si="0"/>
        <v>26</v>
      </c>
      <c r="C28" s="13" t="s">
        <v>16</v>
      </c>
      <c r="D28" s="9" t="s">
        <v>52</v>
      </c>
      <c r="E28" s="10" t="s">
        <v>111</v>
      </c>
      <c r="F28" s="9" t="s">
        <v>161</v>
      </c>
      <c r="G28" s="10" t="s">
        <v>161</v>
      </c>
      <c r="H28" s="9" t="s">
        <v>245</v>
      </c>
      <c r="I28" s="10" t="s">
        <v>161</v>
      </c>
      <c r="J28" s="9">
        <v>1</v>
      </c>
    </row>
    <row r="29" spans="1:10" ht="26.25" thickBot="1" x14ac:dyDescent="0.3">
      <c r="A29" s="1"/>
      <c r="B29" s="11">
        <f>ROW(B29) - ROW($B$2)</f>
        <v>27</v>
      </c>
      <c r="C29" s="12" t="s">
        <v>17</v>
      </c>
      <c r="D29" s="7" t="s">
        <v>53</v>
      </c>
      <c r="E29" s="8" t="s">
        <v>112</v>
      </c>
      <c r="F29" s="7" t="s">
        <v>162</v>
      </c>
      <c r="G29" s="8">
        <v>61301021121</v>
      </c>
      <c r="H29" s="7" t="s">
        <v>244</v>
      </c>
      <c r="I29" s="8">
        <v>61301021121</v>
      </c>
      <c r="J29" s="7">
        <v>1</v>
      </c>
    </row>
    <row r="30" spans="1:10" ht="15.75" thickBot="1" x14ac:dyDescent="0.3">
      <c r="A30" s="1"/>
      <c r="B30" s="11">
        <f t="shared" si="0"/>
        <v>28</v>
      </c>
      <c r="C30" s="13" t="s">
        <v>18</v>
      </c>
      <c r="D30" s="9" t="s">
        <v>54</v>
      </c>
      <c r="E30" s="10" t="s">
        <v>113</v>
      </c>
      <c r="F30" s="9" t="s">
        <v>163</v>
      </c>
      <c r="G30" s="10" t="s">
        <v>200</v>
      </c>
      <c r="H30" s="9" t="s">
        <v>236</v>
      </c>
      <c r="I30" s="10" t="s">
        <v>200</v>
      </c>
      <c r="J30" s="9">
        <v>1</v>
      </c>
    </row>
    <row r="31" spans="1:10" ht="15.75" thickBot="1" x14ac:dyDescent="0.3">
      <c r="A31" s="1"/>
      <c r="B31" s="11">
        <f>ROW(B31) - ROW($B$2)</f>
        <v>29</v>
      </c>
      <c r="C31" s="12" t="s">
        <v>18</v>
      </c>
      <c r="D31" s="7" t="s">
        <v>55</v>
      </c>
      <c r="E31" s="8" t="s">
        <v>114</v>
      </c>
      <c r="F31" s="7" t="s">
        <v>164</v>
      </c>
      <c r="G31" s="8" t="s">
        <v>201</v>
      </c>
      <c r="H31" s="7" t="s">
        <v>246</v>
      </c>
      <c r="I31" s="8" t="s">
        <v>201</v>
      </c>
      <c r="J31" s="7">
        <v>2</v>
      </c>
    </row>
    <row r="32" spans="1:10" ht="15.75" thickBot="1" x14ac:dyDescent="0.3">
      <c r="A32" s="1"/>
      <c r="B32" s="11">
        <f t="shared" si="0"/>
        <v>30</v>
      </c>
      <c r="C32" s="13" t="s">
        <v>19</v>
      </c>
      <c r="D32" s="9" t="s">
        <v>56</v>
      </c>
      <c r="E32" s="10" t="s">
        <v>115</v>
      </c>
      <c r="F32" s="9" t="s">
        <v>165</v>
      </c>
      <c r="G32" s="10" t="s">
        <v>202</v>
      </c>
      <c r="H32" s="9" t="s">
        <v>230</v>
      </c>
      <c r="I32" s="10" t="s">
        <v>269</v>
      </c>
      <c r="J32" s="9">
        <v>2</v>
      </c>
    </row>
    <row r="33" spans="1:10" ht="15.75" thickBot="1" x14ac:dyDescent="0.3">
      <c r="A33" s="1"/>
      <c r="B33" s="11">
        <f>ROW(B33) - ROW($B$2)</f>
        <v>31</v>
      </c>
      <c r="C33" s="12" t="s">
        <v>19</v>
      </c>
      <c r="D33" s="7" t="s">
        <v>57</v>
      </c>
      <c r="E33" s="8" t="s">
        <v>116</v>
      </c>
      <c r="F33" s="7" t="s">
        <v>165</v>
      </c>
      <c r="G33" s="8" t="s">
        <v>203</v>
      </c>
      <c r="H33" s="7" t="s">
        <v>230</v>
      </c>
      <c r="I33" s="8" t="s">
        <v>270</v>
      </c>
      <c r="J33" s="7">
        <v>7</v>
      </c>
    </row>
    <row r="34" spans="1:10" ht="15.75" thickBot="1" x14ac:dyDescent="0.3">
      <c r="A34" s="1"/>
      <c r="B34" s="11">
        <f t="shared" si="0"/>
        <v>32</v>
      </c>
      <c r="C34" s="13" t="s">
        <v>20</v>
      </c>
      <c r="D34" s="9" t="s">
        <v>58</v>
      </c>
      <c r="E34" s="10" t="s">
        <v>117</v>
      </c>
      <c r="F34" s="9" t="s">
        <v>165</v>
      </c>
      <c r="G34" s="10" t="s">
        <v>204</v>
      </c>
      <c r="H34" s="9" t="s">
        <v>230</v>
      </c>
      <c r="I34" s="10" t="s">
        <v>271</v>
      </c>
      <c r="J34" s="9">
        <v>2</v>
      </c>
    </row>
    <row r="35" spans="1:10" ht="24.75" thickBot="1" x14ac:dyDescent="0.3">
      <c r="A35" s="1"/>
      <c r="B35" s="11">
        <f>ROW(B35) - ROW($B$2)</f>
        <v>33</v>
      </c>
      <c r="C35" s="12" t="s">
        <v>19</v>
      </c>
      <c r="D35" s="7" t="s">
        <v>59</v>
      </c>
      <c r="E35" s="8" t="s">
        <v>118</v>
      </c>
      <c r="F35" s="7" t="s">
        <v>165</v>
      </c>
      <c r="G35" s="8" t="s">
        <v>205</v>
      </c>
      <c r="H35" s="7" t="s">
        <v>230</v>
      </c>
      <c r="I35" s="8" t="s">
        <v>272</v>
      </c>
      <c r="J35" s="7">
        <v>11</v>
      </c>
    </row>
    <row r="36" spans="1:10" ht="15.75" thickBot="1" x14ac:dyDescent="0.3">
      <c r="A36" s="1"/>
      <c r="B36" s="11">
        <f t="shared" si="0"/>
        <v>34</v>
      </c>
      <c r="C36" s="13" t="s">
        <v>20</v>
      </c>
      <c r="D36" s="9" t="s">
        <v>60</v>
      </c>
      <c r="E36" s="10" t="s">
        <v>119</v>
      </c>
      <c r="F36" s="9" t="s">
        <v>165</v>
      </c>
      <c r="G36" s="10" t="s">
        <v>206</v>
      </c>
      <c r="H36" s="9" t="s">
        <v>230</v>
      </c>
      <c r="I36" s="10" t="s">
        <v>273</v>
      </c>
      <c r="J36" s="9">
        <v>1</v>
      </c>
    </row>
    <row r="37" spans="1:10" ht="15.75" thickBot="1" x14ac:dyDescent="0.3">
      <c r="A37" s="1"/>
      <c r="B37" s="11">
        <f>ROW(B37) - ROW($B$2)</f>
        <v>35</v>
      </c>
      <c r="C37" s="12" t="s">
        <v>19</v>
      </c>
      <c r="D37" s="7" t="s">
        <v>61</v>
      </c>
      <c r="E37" s="8" t="s">
        <v>120</v>
      </c>
      <c r="F37" s="7" t="s">
        <v>165</v>
      </c>
      <c r="G37" s="8" t="s">
        <v>207</v>
      </c>
      <c r="H37" s="7" t="s">
        <v>230</v>
      </c>
      <c r="I37" s="8" t="s">
        <v>274</v>
      </c>
      <c r="J37" s="7">
        <v>1</v>
      </c>
    </row>
    <row r="38" spans="1:10" ht="15.75" thickBot="1" x14ac:dyDescent="0.3">
      <c r="A38" s="1"/>
      <c r="B38" s="11">
        <f t="shared" si="0"/>
        <v>36</v>
      </c>
      <c r="C38" s="13"/>
      <c r="D38" s="9" t="s">
        <v>62</v>
      </c>
      <c r="E38" s="10" t="s">
        <v>121</v>
      </c>
      <c r="F38" s="9" t="s">
        <v>165</v>
      </c>
      <c r="G38" s="10" t="s">
        <v>208</v>
      </c>
      <c r="H38" s="9" t="s">
        <v>230</v>
      </c>
      <c r="I38" s="10" t="s">
        <v>275</v>
      </c>
      <c r="J38" s="9">
        <v>3</v>
      </c>
    </row>
    <row r="39" spans="1:10" ht="15.75" thickBot="1" x14ac:dyDescent="0.3">
      <c r="A39" s="1"/>
      <c r="B39" s="11">
        <f>ROW(B39) - ROW($B$2)</f>
        <v>37</v>
      </c>
      <c r="C39" s="12" t="s">
        <v>19</v>
      </c>
      <c r="D39" s="7" t="s">
        <v>63</v>
      </c>
      <c r="E39" s="8" t="s">
        <v>122</v>
      </c>
      <c r="F39" s="7" t="s">
        <v>165</v>
      </c>
      <c r="G39" s="8" t="s">
        <v>209</v>
      </c>
      <c r="H39" s="7" t="s">
        <v>230</v>
      </c>
      <c r="I39" s="8" t="s">
        <v>276</v>
      </c>
      <c r="J39" s="7">
        <v>1</v>
      </c>
    </row>
    <row r="40" spans="1:10" ht="15.75" thickBot="1" x14ac:dyDescent="0.3">
      <c r="A40" s="1"/>
      <c r="B40" s="11">
        <f t="shared" si="0"/>
        <v>38</v>
      </c>
      <c r="C40" s="13" t="s">
        <v>20</v>
      </c>
      <c r="D40" s="9" t="s">
        <v>64</v>
      </c>
      <c r="E40" s="10" t="s">
        <v>123</v>
      </c>
      <c r="F40" s="9" t="s">
        <v>165</v>
      </c>
      <c r="G40" s="10" t="s">
        <v>210</v>
      </c>
      <c r="H40" s="9" t="s">
        <v>230</v>
      </c>
      <c r="I40" s="10" t="s">
        <v>277</v>
      </c>
      <c r="J40" s="9">
        <v>1</v>
      </c>
    </row>
    <row r="41" spans="1:10" ht="15.75" thickBot="1" x14ac:dyDescent="0.3">
      <c r="A41" s="1"/>
      <c r="B41" s="11">
        <f>ROW(B41) - ROW($B$2)</f>
        <v>39</v>
      </c>
      <c r="C41" s="12"/>
      <c r="D41" s="7" t="s">
        <v>65</v>
      </c>
      <c r="E41" s="8" t="s">
        <v>124</v>
      </c>
      <c r="F41" s="7" t="s">
        <v>165</v>
      </c>
      <c r="G41" s="8" t="s">
        <v>211</v>
      </c>
      <c r="H41" s="7" t="s">
        <v>230</v>
      </c>
      <c r="I41" s="8" t="s">
        <v>278</v>
      </c>
      <c r="J41" s="7">
        <v>1</v>
      </c>
    </row>
    <row r="42" spans="1:10" ht="15.75" thickBot="1" x14ac:dyDescent="0.3">
      <c r="A42" s="1"/>
      <c r="B42" s="11">
        <f t="shared" si="0"/>
        <v>40</v>
      </c>
      <c r="C42" s="13" t="s">
        <v>19</v>
      </c>
      <c r="D42" s="9" t="s">
        <v>66</v>
      </c>
      <c r="E42" s="10" t="s">
        <v>125</v>
      </c>
      <c r="F42" s="9" t="s">
        <v>165</v>
      </c>
      <c r="G42" s="10" t="s">
        <v>212</v>
      </c>
      <c r="H42" s="9" t="s">
        <v>247</v>
      </c>
      <c r="I42" s="10" t="s">
        <v>279</v>
      </c>
      <c r="J42" s="9">
        <v>2</v>
      </c>
    </row>
    <row r="43" spans="1:10" ht="15.75" thickBot="1" x14ac:dyDescent="0.3">
      <c r="A43" s="1"/>
      <c r="B43" s="11">
        <f>ROW(B43) - ROW($B$2)</f>
        <v>41</v>
      </c>
      <c r="C43" s="12" t="s">
        <v>19</v>
      </c>
      <c r="D43" s="7" t="s">
        <v>67</v>
      </c>
      <c r="E43" s="8" t="s">
        <v>126</v>
      </c>
      <c r="F43" s="7" t="s">
        <v>165</v>
      </c>
      <c r="G43" s="8" t="s">
        <v>213</v>
      </c>
      <c r="H43" s="7" t="s">
        <v>230</v>
      </c>
      <c r="I43" s="8" t="s">
        <v>280</v>
      </c>
      <c r="J43" s="7">
        <v>3</v>
      </c>
    </row>
    <row r="44" spans="1:10" ht="15.75" thickBot="1" x14ac:dyDescent="0.3">
      <c r="A44" s="1"/>
      <c r="B44" s="11">
        <f t="shared" si="0"/>
        <v>42</v>
      </c>
      <c r="C44" s="13" t="s">
        <v>19</v>
      </c>
      <c r="D44" s="9" t="s">
        <v>68</v>
      </c>
      <c r="E44" s="10" t="s">
        <v>127</v>
      </c>
      <c r="F44" s="9" t="s">
        <v>165</v>
      </c>
      <c r="G44" s="10" t="s">
        <v>214</v>
      </c>
      <c r="H44" s="9" t="s">
        <v>230</v>
      </c>
      <c r="I44" s="10" t="s">
        <v>281</v>
      </c>
      <c r="J44" s="9">
        <v>1</v>
      </c>
    </row>
    <row r="45" spans="1:10" ht="15.75" thickBot="1" x14ac:dyDescent="0.3">
      <c r="A45" s="1"/>
      <c r="B45" s="11">
        <f>ROW(B45) - ROW($B$2)</f>
        <v>43</v>
      </c>
      <c r="C45" s="12" t="s">
        <v>19</v>
      </c>
      <c r="D45" s="7" t="s">
        <v>69</v>
      </c>
      <c r="E45" s="8" t="s">
        <v>128</v>
      </c>
      <c r="F45" s="7" t="s">
        <v>165</v>
      </c>
      <c r="G45" s="8" t="s">
        <v>215</v>
      </c>
      <c r="H45" s="7" t="s">
        <v>230</v>
      </c>
      <c r="I45" s="8" t="s">
        <v>282</v>
      </c>
      <c r="J45" s="7">
        <v>2</v>
      </c>
    </row>
    <row r="46" spans="1:10" ht="15.75" thickBot="1" x14ac:dyDescent="0.3">
      <c r="A46" s="1"/>
      <c r="B46" s="11">
        <f t="shared" si="0"/>
        <v>44</v>
      </c>
      <c r="C46" s="13" t="s">
        <v>19</v>
      </c>
      <c r="D46" s="9" t="s">
        <v>70</v>
      </c>
      <c r="E46" s="10" t="s">
        <v>129</v>
      </c>
      <c r="F46" s="9" t="s">
        <v>166</v>
      </c>
      <c r="G46" s="10" t="s">
        <v>216</v>
      </c>
      <c r="H46" s="9" t="s">
        <v>230</v>
      </c>
      <c r="I46" s="10" t="s">
        <v>283</v>
      </c>
      <c r="J46" s="9">
        <v>8</v>
      </c>
    </row>
    <row r="47" spans="1:10" ht="24.75" thickBot="1" x14ac:dyDescent="0.3">
      <c r="A47" s="1"/>
      <c r="B47" s="11">
        <f>ROW(B47) - ROW($B$2)</f>
        <v>45</v>
      </c>
      <c r="C47" s="12" t="s">
        <v>19</v>
      </c>
      <c r="D47" s="7" t="s">
        <v>71</v>
      </c>
      <c r="E47" s="8" t="s">
        <v>130</v>
      </c>
      <c r="F47" s="7" t="s">
        <v>167</v>
      </c>
      <c r="G47" s="8" t="s">
        <v>217</v>
      </c>
      <c r="H47" s="7" t="s">
        <v>248</v>
      </c>
      <c r="I47" s="8" t="s">
        <v>284</v>
      </c>
      <c r="J47" s="7">
        <v>1</v>
      </c>
    </row>
    <row r="48" spans="1:10" ht="15.75" thickBot="1" x14ac:dyDescent="0.3">
      <c r="A48" s="1"/>
      <c r="B48" s="11">
        <f t="shared" si="0"/>
        <v>46</v>
      </c>
      <c r="C48" s="13" t="s">
        <v>19</v>
      </c>
      <c r="D48" s="9" t="s">
        <v>72</v>
      </c>
      <c r="E48" s="10" t="s">
        <v>131</v>
      </c>
      <c r="F48" s="9" t="s">
        <v>166</v>
      </c>
      <c r="G48" s="10" t="s">
        <v>218</v>
      </c>
      <c r="H48" s="9" t="s">
        <v>230</v>
      </c>
      <c r="I48" s="10" t="s">
        <v>279</v>
      </c>
      <c r="J48" s="9">
        <v>1</v>
      </c>
    </row>
    <row r="49" spans="1:10" ht="15.75" thickBot="1" x14ac:dyDescent="0.3">
      <c r="A49" s="1"/>
      <c r="B49" s="11">
        <f>ROW(B49) - ROW($B$2)</f>
        <v>47</v>
      </c>
      <c r="C49" s="12" t="s">
        <v>19</v>
      </c>
      <c r="D49" s="7" t="s">
        <v>73</v>
      </c>
      <c r="E49" s="8" t="s">
        <v>132</v>
      </c>
      <c r="F49" s="7" t="s">
        <v>166</v>
      </c>
      <c r="G49" s="8" t="s">
        <v>219</v>
      </c>
      <c r="H49" s="7" t="s">
        <v>230</v>
      </c>
      <c r="I49" s="8" t="s">
        <v>276</v>
      </c>
      <c r="J49" s="7">
        <v>3</v>
      </c>
    </row>
    <row r="50" spans="1:10" ht="15.75" thickBot="1" x14ac:dyDescent="0.3">
      <c r="A50" s="1"/>
      <c r="B50" s="11">
        <f t="shared" si="0"/>
        <v>48</v>
      </c>
      <c r="C50" s="13" t="s">
        <v>19</v>
      </c>
      <c r="D50" s="9" t="s">
        <v>74</v>
      </c>
      <c r="E50" s="10" t="s">
        <v>133</v>
      </c>
      <c r="F50" s="9" t="s">
        <v>168</v>
      </c>
      <c r="G50" s="10" t="s">
        <v>220</v>
      </c>
      <c r="H50" s="9" t="s">
        <v>230</v>
      </c>
      <c r="I50" s="10" t="s">
        <v>280</v>
      </c>
      <c r="J50" s="9">
        <v>1</v>
      </c>
    </row>
    <row r="51" spans="1:10" ht="15.75" thickBot="1" x14ac:dyDescent="0.3">
      <c r="A51" s="1"/>
      <c r="B51" s="11">
        <f>ROW(B51) - ROW($B$2)</f>
        <v>49</v>
      </c>
      <c r="C51" s="12" t="s">
        <v>21</v>
      </c>
      <c r="D51" s="7" t="s">
        <v>75</v>
      </c>
      <c r="E51" s="8" t="s">
        <v>134</v>
      </c>
      <c r="F51" s="7" t="s">
        <v>169</v>
      </c>
      <c r="G51" s="8" t="s">
        <v>169</v>
      </c>
      <c r="H51" s="7" t="s">
        <v>249</v>
      </c>
      <c r="I51" s="8" t="s">
        <v>169</v>
      </c>
      <c r="J51" s="7">
        <v>2</v>
      </c>
    </row>
    <row r="52" spans="1:10" ht="15.75" thickBot="1" x14ac:dyDescent="0.3">
      <c r="A52" s="1"/>
      <c r="B52" s="11">
        <f t="shared" si="0"/>
        <v>50</v>
      </c>
      <c r="C52" s="13" t="s">
        <v>22</v>
      </c>
      <c r="D52" s="9" t="s">
        <v>76</v>
      </c>
      <c r="E52" s="10" t="s">
        <v>135</v>
      </c>
      <c r="F52" s="9" t="s">
        <v>170</v>
      </c>
      <c r="G52" s="10" t="s">
        <v>170</v>
      </c>
      <c r="H52" s="9" t="s">
        <v>250</v>
      </c>
      <c r="I52" s="10" t="s">
        <v>170</v>
      </c>
      <c r="J52" s="9">
        <v>1</v>
      </c>
    </row>
    <row r="53" spans="1:10" ht="15.75" thickBot="1" x14ac:dyDescent="0.3">
      <c r="A53" s="1"/>
      <c r="B53" s="11">
        <f>ROW(B53) - ROW($B$2)</f>
        <v>51</v>
      </c>
      <c r="C53" s="12" t="s">
        <v>23</v>
      </c>
      <c r="D53" s="7" t="s">
        <v>77</v>
      </c>
      <c r="E53" s="8" t="s">
        <v>136</v>
      </c>
      <c r="F53" s="7" t="s">
        <v>171</v>
      </c>
      <c r="G53" s="8" t="s">
        <v>221</v>
      </c>
      <c r="H53" s="7" t="s">
        <v>251</v>
      </c>
      <c r="I53" s="8" t="s">
        <v>221</v>
      </c>
      <c r="J53" s="7">
        <v>1</v>
      </c>
    </row>
    <row r="54" spans="1:10" ht="15.75" thickBot="1" x14ac:dyDescent="0.3">
      <c r="A54" s="1"/>
      <c r="B54" s="11">
        <f t="shared" si="0"/>
        <v>52</v>
      </c>
      <c r="C54" s="13" t="s">
        <v>24</v>
      </c>
      <c r="D54" s="9" t="s">
        <v>78</v>
      </c>
      <c r="E54" s="10" t="s">
        <v>137</v>
      </c>
      <c r="F54" s="9" t="s">
        <v>172</v>
      </c>
      <c r="G54" s="10" t="s">
        <v>172</v>
      </c>
      <c r="H54" s="9" t="s">
        <v>252</v>
      </c>
      <c r="I54" s="10" t="s">
        <v>172</v>
      </c>
      <c r="J54" s="9">
        <v>1</v>
      </c>
    </row>
    <row r="55" spans="1:10" ht="15.75" thickBot="1" x14ac:dyDescent="0.3">
      <c r="A55" s="1"/>
      <c r="B55" s="11">
        <f>ROW(B55) - ROW($B$2)</f>
        <v>53</v>
      </c>
      <c r="C55" s="12" t="s">
        <v>25</v>
      </c>
      <c r="D55" s="7" t="s">
        <v>79</v>
      </c>
      <c r="E55" s="8" t="s">
        <v>138</v>
      </c>
      <c r="F55" s="7" t="s">
        <v>173</v>
      </c>
      <c r="G55" s="8" t="s">
        <v>222</v>
      </c>
      <c r="H55" s="7" t="s">
        <v>253</v>
      </c>
      <c r="I55" s="8" t="s">
        <v>222</v>
      </c>
      <c r="J55" s="7">
        <v>2</v>
      </c>
    </row>
    <row r="56" spans="1:10" ht="15.75" thickBot="1" x14ac:dyDescent="0.3">
      <c r="A56" s="1"/>
      <c r="B56" s="11">
        <f t="shared" si="0"/>
        <v>54</v>
      </c>
      <c r="C56" s="13" t="s">
        <v>25</v>
      </c>
      <c r="D56" s="9" t="s">
        <v>80</v>
      </c>
      <c r="E56" s="10" t="s">
        <v>139</v>
      </c>
      <c r="F56" s="9" t="s">
        <v>174</v>
      </c>
      <c r="G56" s="10" t="s">
        <v>223</v>
      </c>
      <c r="H56" s="9" t="s">
        <v>253</v>
      </c>
      <c r="I56" s="10" t="s">
        <v>223</v>
      </c>
      <c r="J56" s="9">
        <v>1</v>
      </c>
    </row>
    <row r="57" spans="1:10" ht="15.75" thickBot="1" x14ac:dyDescent="0.3">
      <c r="A57" s="1"/>
      <c r="B57" s="11">
        <f>ROW(B57) - ROW($B$2)</f>
        <v>55</v>
      </c>
      <c r="C57" s="12" t="s">
        <v>25</v>
      </c>
      <c r="D57" s="7" t="s">
        <v>81</v>
      </c>
      <c r="E57" s="8" t="s">
        <v>140</v>
      </c>
      <c r="F57" s="7" t="s">
        <v>175</v>
      </c>
      <c r="G57" s="8" t="s">
        <v>224</v>
      </c>
      <c r="H57" s="7" t="s">
        <v>254</v>
      </c>
      <c r="I57" s="8" t="s">
        <v>224</v>
      </c>
      <c r="J57" s="7">
        <v>1</v>
      </c>
    </row>
    <row r="58" spans="1:10" ht="24.75" thickBot="1" x14ac:dyDescent="0.3">
      <c r="A58" s="1"/>
      <c r="B58" s="11">
        <f t="shared" si="0"/>
        <v>56</v>
      </c>
      <c r="C58" s="13" t="s">
        <v>25</v>
      </c>
      <c r="D58" s="9" t="s">
        <v>82</v>
      </c>
      <c r="E58" s="10" t="s">
        <v>141</v>
      </c>
      <c r="F58" s="9" t="s">
        <v>176</v>
      </c>
      <c r="G58" s="10" t="s">
        <v>225</v>
      </c>
      <c r="H58" s="9" t="s">
        <v>255</v>
      </c>
      <c r="I58" s="10" t="s">
        <v>225</v>
      </c>
      <c r="J58" s="9">
        <v>1</v>
      </c>
    </row>
    <row r="59" spans="1:10" ht="15.75" thickBot="1" x14ac:dyDescent="0.3">
      <c r="A59" s="1"/>
      <c r="B59" s="11">
        <f>ROW(B59) - ROW($B$2)</f>
        <v>57</v>
      </c>
      <c r="C59" s="12"/>
      <c r="D59" s="7" t="s">
        <v>83</v>
      </c>
      <c r="E59" s="8" t="s">
        <v>142</v>
      </c>
      <c r="F59" s="7" t="s">
        <v>177</v>
      </c>
      <c r="G59" s="8" t="s">
        <v>226</v>
      </c>
      <c r="H59" s="7" t="s">
        <v>253</v>
      </c>
      <c r="I59" s="8" t="s">
        <v>226</v>
      </c>
      <c r="J59" s="7">
        <v>1</v>
      </c>
    </row>
    <row r="60" spans="1:10" ht="24.75" thickBot="1" x14ac:dyDescent="0.3">
      <c r="A60" s="1"/>
      <c r="B60" s="11">
        <f t="shared" si="0"/>
        <v>58</v>
      </c>
      <c r="C60" s="13" t="s">
        <v>25</v>
      </c>
      <c r="D60" s="9" t="s">
        <v>84</v>
      </c>
      <c r="E60" s="10" t="s">
        <v>143</v>
      </c>
      <c r="F60" s="9" t="s">
        <v>178</v>
      </c>
      <c r="G60" s="10" t="s">
        <v>227</v>
      </c>
      <c r="H60" s="9" t="s">
        <v>256</v>
      </c>
      <c r="I60" s="10" t="s">
        <v>227</v>
      </c>
      <c r="J60" s="9">
        <v>1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Saba aSim</cp:lastModifiedBy>
  <dcterms:created xsi:type="dcterms:W3CDTF">2019-12-12T10:34:26Z</dcterms:created>
  <dcterms:modified xsi:type="dcterms:W3CDTF">2025-11-28T22:13:23Z</dcterms:modified>
</cp:coreProperties>
</file>